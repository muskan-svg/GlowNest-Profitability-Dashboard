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<sst xmlns="http://schemas.openxmlformats.org/spreadsheetml/2006/main" count="48" uniqueCount="41">
  <si>
    <t>A (Label)</t>
  </si>
  <si>
    <t>B (Value)</t>
  </si>
  <si>
    <t>C (Notes)</t>
  </si>
  <si>
    <t>D (Output Label)</t>
  </si>
  <si>
    <t>E (Formula)</t>
  </si>
  <si>
    <t>Selling Price (SP)</t>
  </si>
  <si>
    <t>₹</t>
  </si>
  <si>
    <t>Gross Margin per Unit</t>
  </si>
  <si>
    <t>COGS</t>
  </si>
  <si>
    <t>Amazon Fee per Unit</t>
  </si>
  <si>
    <t>Amazon Referral Fee (%)</t>
  </si>
  <si>
    <t>%</t>
  </si>
  <si>
    <t>Ad Cost per Unit</t>
  </si>
  <si>
    <t>Monthly Ad Spend</t>
  </si>
  <si>
    <t>Net Margin (Ad Units)</t>
  </si>
  <si>
    <t>Units Sold via Ads</t>
  </si>
  <si>
    <t>Units</t>
  </si>
  <si>
    <t>Net Margin (Organic Units)</t>
  </si>
  <si>
    <t>Organic Units Sold</t>
  </si>
  <si>
    <t>Total Monthly Revenue</t>
  </si>
  <si>
    <t>Fixed Costs (monthly)</t>
  </si>
  <si>
    <t>Total Monthly Profit</t>
  </si>
  <si>
    <t>ACOS</t>
  </si>
  <si>
    <t>TACOS</t>
  </si>
  <si>
    <t>Scenario Testing</t>
  </si>
  <si>
    <t>Scenario</t>
  </si>
  <si>
    <t>Profit (₹)</t>
  </si>
  <si>
    <t>Price Sensitivity (SP = 950)</t>
  </si>
  <si>
    <t>15,14,000</t>
  </si>
  <si>
    <t>Cost Pressure (COGS +20%)</t>
  </si>
  <si>
    <t>7,22,000</t>
  </si>
  <si>
    <t>Organic Growth (Units = 3500)</t>
  </si>
  <si>
    <t>16,70,000</t>
  </si>
  <si>
    <t>Category Shift (SP = 700)</t>
  </si>
  <si>
    <t>6,62,000</t>
  </si>
  <si>
    <t>Ad Spend (₹)</t>
  </si>
  <si>
    <t>19,18,000</t>
  </si>
  <si>
    <t>18,44,000</t>
  </si>
  <si>
    <t>16,70,000 (baseline)</t>
  </si>
  <si>
    <t>14,96,000</t>
  </si>
  <si>
    <t>13,22,000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</si>
</sst>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9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356854"/>
                </a:solidFill>
                <a:latin typeface="Arial"/>
              </a:defRPr>
            </a:pPr>
            <a:r>
              <a:rPr b="0" sz="1400">
                <a:solidFill>
                  <a:srgbClr val="356854"/>
                </a:solidFill>
                <a:latin typeface="Arial"/>
              </a:rPr>
              <a:t>Ad Spend (₹) vs. Profit (₹)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Sheet1!$A$21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Sheet1!$B$22:$B$26</c:f>
            </c:strRef>
          </c:cat>
          <c:val>
            <c:numRef>
              <c:f>Sheet1!$A$22:$A$26</c:f>
              <c:numCache/>
            </c:numRef>
          </c:val>
        </c:ser>
        <c:axId val="1377787283"/>
        <c:axId val="480560933"/>
      </c:barChart>
      <c:catAx>
        <c:axId val="13777872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0560933"/>
      </c:catAx>
      <c:valAx>
        <c:axId val="4805609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 Spend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77872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2219325</xdr:colOff>
      <xdr:row>19</xdr:row>
      <xdr:rowOff>161925</xdr:rowOff>
    </xdr:from>
    <xdr:ext cx="5095875" cy="3619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" displayName="Table1" name="Table1" id="1">
  <tableColumns count="5">
    <tableColumn name="A (Label)" id="1"/>
    <tableColumn name="B (Value)" id="2"/>
    <tableColumn name="C (Notes)" id="3"/>
    <tableColumn name="D (Output Label)" id="4"/>
    <tableColumn name="E (Formula)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29.38"/>
    <col customWidth="1" min="3" max="3" width="14.0"/>
    <col customWidth="1" min="4" max="4" width="22.0"/>
    <col customWidth="1" min="5" max="5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1" t="s">
        <v>5</v>
      </c>
      <c r="B2" s="2">
        <v>800.0</v>
      </c>
      <c r="C2" s="2" t="s">
        <v>6</v>
      </c>
      <c r="D2" s="2" t="s">
        <v>7</v>
      </c>
      <c r="E2" s="3">
        <f>B2-B3</f>
        <v>520</v>
      </c>
    </row>
    <row r="3" ht="22.5" customHeight="1">
      <c r="A3" s="1" t="s">
        <v>8</v>
      </c>
      <c r="B3" s="2">
        <v>280.0</v>
      </c>
      <c r="C3" s="2" t="s">
        <v>6</v>
      </c>
      <c r="D3" s="2" t="s">
        <v>9</v>
      </c>
      <c r="E3" s="3">
        <f>B2*B4</f>
        <v>96</v>
      </c>
    </row>
    <row r="4" ht="22.5" customHeight="1">
      <c r="A4" s="1" t="s">
        <v>10</v>
      </c>
      <c r="B4" s="4">
        <v>0.12</v>
      </c>
      <c r="C4" s="2" t="s">
        <v>11</v>
      </c>
      <c r="D4" s="2" t="s">
        <v>12</v>
      </c>
      <c r="E4" s="3">
        <f>B5/B6</f>
        <v>200</v>
      </c>
    </row>
    <row r="5" ht="22.5" customHeight="1">
      <c r="A5" s="1" t="s">
        <v>13</v>
      </c>
      <c r="B5" s="2">
        <v>300000.0</v>
      </c>
      <c r="C5" s="2" t="s">
        <v>6</v>
      </c>
      <c r="D5" s="2" t="s">
        <v>14</v>
      </c>
      <c r="E5" s="3">
        <f>E2-E3-E4</f>
        <v>224</v>
      </c>
    </row>
    <row r="6" ht="22.5" customHeight="1">
      <c r="A6" s="1" t="s">
        <v>15</v>
      </c>
      <c r="B6" s="2">
        <v>1500.0</v>
      </c>
      <c r="C6" s="2" t="s">
        <v>16</v>
      </c>
      <c r="D6" s="2" t="s">
        <v>17</v>
      </c>
      <c r="E6" s="3">
        <f>E2-E3</f>
        <v>424</v>
      </c>
    </row>
    <row r="7" ht="22.5" customHeight="1">
      <c r="A7" s="1" t="s">
        <v>18</v>
      </c>
      <c r="B7" s="2">
        <v>3500.0</v>
      </c>
      <c r="C7" s="2" t="s">
        <v>16</v>
      </c>
      <c r="D7" s="2" t="s">
        <v>19</v>
      </c>
      <c r="E7" s="3">
        <f>B2*(B6+B7)</f>
        <v>4000000</v>
      </c>
    </row>
    <row r="8" ht="22.5" customHeight="1">
      <c r="A8" s="1" t="s">
        <v>20</v>
      </c>
      <c r="B8" s="2">
        <v>150000.0</v>
      </c>
      <c r="C8" s="2" t="s">
        <v>6</v>
      </c>
      <c r="D8" s="2" t="s">
        <v>21</v>
      </c>
      <c r="E8" s="3">
        <f>(E5*B6)+(E6*B7)-B8</f>
        <v>1670000</v>
      </c>
    </row>
    <row r="9" ht="22.5" customHeight="1">
      <c r="A9" s="5"/>
      <c r="D9" s="2" t="s">
        <v>22</v>
      </c>
      <c r="E9" s="3">
        <f>B5/(B2*B6)</f>
        <v>0.25</v>
      </c>
    </row>
    <row r="10" ht="22.5" customHeight="1">
      <c r="A10" s="5"/>
      <c r="D10" s="2" t="s">
        <v>23</v>
      </c>
      <c r="E10" s="3">
        <f>B5/E7</f>
        <v>0.075</v>
      </c>
    </row>
    <row r="13">
      <c r="A13" s="6" t="s">
        <v>24</v>
      </c>
    </row>
    <row r="14">
      <c r="A14" s="7" t="s">
        <v>25</v>
      </c>
      <c r="B14" s="7" t="s">
        <v>26</v>
      </c>
      <c r="C14" s="7" t="s">
        <v>22</v>
      </c>
      <c r="D14" s="7" t="s">
        <v>23</v>
      </c>
    </row>
    <row r="15">
      <c r="A15" s="7" t="s">
        <v>27</v>
      </c>
      <c r="B15" s="8" t="s">
        <v>28</v>
      </c>
      <c r="C15" s="8">
        <v>0.21</v>
      </c>
      <c r="D15" s="8">
        <v>0.09</v>
      </c>
    </row>
    <row r="16">
      <c r="A16" s="7" t="s">
        <v>29</v>
      </c>
      <c r="B16" s="8" t="s">
        <v>30</v>
      </c>
      <c r="C16" s="8">
        <v>0.25</v>
      </c>
      <c r="D16" s="8">
        <v>0.12</v>
      </c>
    </row>
    <row r="17">
      <c r="A17" s="7" t="s">
        <v>31</v>
      </c>
      <c r="B17" s="8" t="s">
        <v>32</v>
      </c>
      <c r="C17" s="8">
        <v>0.25</v>
      </c>
      <c r="D17" s="8">
        <v>0.075</v>
      </c>
    </row>
    <row r="18">
      <c r="A18" s="7" t="s">
        <v>33</v>
      </c>
      <c r="B18" s="8" t="s">
        <v>34</v>
      </c>
      <c r="C18" s="8">
        <v>0.28</v>
      </c>
      <c r="D18" s="8">
        <v>0.13</v>
      </c>
    </row>
    <row r="21">
      <c r="A21" s="7" t="s">
        <v>35</v>
      </c>
      <c r="B21" s="7" t="s">
        <v>26</v>
      </c>
    </row>
    <row r="22">
      <c r="A22" s="7">
        <v>100000.0</v>
      </c>
      <c r="B22" s="8" t="s">
        <v>36</v>
      </c>
    </row>
    <row r="23">
      <c r="A23" s="7">
        <v>200000.0</v>
      </c>
      <c r="B23" s="8" t="s">
        <v>37</v>
      </c>
    </row>
    <row r="24">
      <c r="A24" s="7">
        <v>300000.0</v>
      </c>
      <c r="B24" s="8" t="s">
        <v>38</v>
      </c>
    </row>
    <row r="25">
      <c r="A25" s="7">
        <v>400000.0</v>
      </c>
      <c r="B25" s="8" t="s">
        <v>39</v>
      </c>
    </row>
    <row r="26">
      <c r="A26" s="7">
        <v>500000.0</v>
      </c>
      <c r="B26" s="8" t="s">
        <v>40</v>
      </c>
    </row>
  </sheetData>
  <conditionalFormatting sqref="B15 B18">
    <cfRule type="cellIs" dxfId="5" priority="1" operator="greaterThan">
      <formula>0</formula>
    </cfRule>
  </conditionalFormatting>
  <conditionalFormatting sqref="B14:B17">
    <cfRule type="cellIs" dxfId="6" priority="2" operator="lessThan">
      <formula>0</formula>
    </cfRule>
  </conditionalFormatting>
  <conditionalFormatting sqref="C14:C18">
    <cfRule type="cellIs" dxfId="7" priority="3" operator="greaterThan">
      <formula>0.25</formula>
    </cfRule>
  </conditionalFormatting>
  <conditionalFormatting sqref="D14:D18">
    <cfRule type="cellIs" dxfId="8" priority="4" operator="greaterThan">
      <formula>0.15</formula>
    </cfRule>
  </conditionalFormatting>
  <dataValidations>
    <dataValidation type="custom" allowBlank="1" showDropDown="1" sqref="E2:E10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